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92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<sst xmlns="http://schemas.openxmlformats.org/spreadsheetml/2006/main" count="30" uniqueCount="30">
  <si>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ALIYA FURNITURES AND SOFA</t>
  </si>
  <si>
    <t>QUOTATION</t>
  </si>
  <si>
    <t>Date : 06/07/2026</t>
  </si>
  <si>
    <t>From</t>
  </si>
  <si>
    <t xml:space="preserve">TO: </t>
  </si>
  <si>
    <t>Name : Salman Ansari</t>
  </si>
  <si>
    <t>Name : JKTech</t>
  </si>
  <si>
    <t>Address : Address: Ground Floor, S.Y No.02, Shop No01 &amp; 02 Main Road, Silverton Apartments, Chikka Begur, Bengaluru - 560068</t>
  </si>
  <si>
    <t>Address : HSR Layout</t>
  </si>
  <si>
    <t>Phone No : +91 73385 04716</t>
  </si>
  <si>
    <t>Phone No : +91 93900 21538</t>
  </si>
  <si>
    <t>E-mail ID : aifurnituresofa@gmail.com</t>
  </si>
  <si>
    <t>E-mail ID :</t>
  </si>
  <si>
    <t>S.No .</t>
  </si>
  <si>
    <t>Description Of Good &amp; Service</t>
  </si>
  <si>
    <t>HSN Code</t>
  </si>
  <si>
    <t xml:space="preserve">Quantity </t>
  </si>
  <si>
    <t xml:space="preserve">Rate </t>
  </si>
  <si>
    <t>Amount</t>
  </si>
  <si>
    <t xml:space="preserve">Sitting Cushion change 40 Density Duroflex SF 20+20+20 = 60 </t>
  </si>
  <si>
    <t>Back Rest Leather Change 30+30+30 =90</t>
  </si>
  <si>
    <t xml:space="preserve">Payment Terms: </t>
  </si>
  <si>
    <t>TOTAL AMOUNT</t>
  </si>
  <si>
    <t>1. 60% Advance Before Starting the work.</t>
  </si>
  <si>
    <t>CGST @ 9%</t>
  </si>
  <si>
    <t>2. Atleast  a week of time to complete the work and remaining 40% after the completion of the work</t>
  </si>
  <si>
    <t>SGST @ 9%</t>
  </si>
  <si>
    <t>GRAND TOTAL</t>
  </si>
  <si>
    <t>If You Hve any Question Concerning this Quotation Please Contact Salman Ansari at +91 73385 04716 Or aifurnitutresofa@gmail.com</t>
  </si>
  <si>
    <t>Thank You For Your Business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</si>
</sst>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7">
    <font>
      <sz val="11"/>
      <color theme="1"/>
      <name val="Calibri"/>
      <charset val="134"/>
      <scheme val="minor"/>
    </font>
    <font>
      <b/>
      <sz val="28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0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Trebuchet M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3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2" applyNumberFormat="0" applyFill="0" applyAlignment="0" applyProtection="0">
      <alignment vertical="center"/>
    </xf>
    <xf numFmtId="0" fontId="14" fillId="0" borderId="32" applyNumberFormat="0" applyFill="0" applyAlignment="0" applyProtection="0">
      <alignment vertical="center"/>
    </xf>
    <xf numFmtId="0" fontId="15" fillId="0" borderId="3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34" applyNumberFormat="0" applyAlignment="0" applyProtection="0">
      <alignment vertical="center"/>
    </xf>
    <xf numFmtId="0" fontId="17" fillId="5" borderId="35" applyNumberFormat="0" applyAlignment="0" applyProtection="0">
      <alignment vertical="center"/>
    </xf>
    <xf numFmtId="0" fontId="18" fillId="5" borderId="34" applyNumberFormat="0" applyAlignment="0" applyProtection="0">
      <alignment vertical="center"/>
    </xf>
    <xf numFmtId="0" fontId="19" fillId="6" borderId="36" applyNumberFormat="0" applyAlignment="0" applyProtection="0">
      <alignment vertical="center"/>
    </xf>
    <xf numFmtId="0" fontId="20" fillId="0" borderId="37" applyNumberFormat="0" applyFill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8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2" fillId="2" borderId="18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6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/>
    </xf>
    <xf numFmtId="0" fontId="4" fillId="0" borderId="6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17" xfId="0" applyFont="1" applyFill="1" applyBorder="1" applyAlignment="1">
      <alignment horizontal="left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21" xfId="0" applyFont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26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8" xfId="0" applyFont="1" applyBorder="1"/>
    <xf numFmtId="0" fontId="4" fillId="0" borderId="27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6" xfId="0" applyFont="1" applyBorder="1" applyAlignment="1"/>
    <xf numFmtId="0" fontId="4" fillId="0" borderId="0" xfId="0" applyFont="1" applyBorder="1" applyAlignment="1"/>
    <xf numFmtId="0" fontId="4" fillId="0" borderId="9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0" xfId="0" applyBorder="1"/>
    <xf numFmtId="0" fontId="6" fillId="0" borderId="0" xfId="0" applyFont="1" applyBorder="1" applyAlignment="1"/>
    <xf numFmtId="0" fontId="2" fillId="2" borderId="24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6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648017</xdr:colOff>
      <xdr:row>15</xdr:row>
      <xdr:rowOff>203517</xdr:rowOff>
    </xdr:from>
    <xdr:to>
      <xdr:col>5</xdr:col>
      <xdr:colOff>942022</xdr:colOff>
      <xdr:row>15</xdr:row>
      <xdr:rowOff>1213802</xdr:rowOff>
    </xdr:to>
    <xdr:pic>
      <xdr:nvPicPr>
        <xdr:cNvPr id="2" name="Picture 1" descr="WhatsApp Image 2026-07-06 at 22.46.3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2493645" y="3012440"/>
          <a:ext cx="1010285" cy="298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5</xdr:row>
      <xdr:rowOff>47624</xdr:rowOff>
    </xdr:from>
    <xdr:to>
      <xdr:col>3</xdr:col>
      <xdr:colOff>390525</xdr:colOff>
      <xdr:row>8</xdr:row>
      <xdr:rowOff>123825</xdr:rowOff>
    </xdr:to>
    <xdr:sp>
      <xdr:nvSpPr>
        <xdr:cNvPr id="2" name="Ribbon: Curved and Tilted Up 1"/>
        <xdr:cNvSpPr/>
      </xdr:nvSpPr>
      <xdr:spPr>
        <a:xfrm>
          <a:off x="19050" y="1113790"/>
          <a:ext cx="2566035" cy="716915"/>
        </a:xfrm>
        <a:prstGeom prst="ellipseRibbon2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11</xdr:row>
      <xdr:rowOff>47625</xdr:rowOff>
    </xdr:from>
    <xdr:to>
      <xdr:col>3</xdr:col>
      <xdr:colOff>28575</xdr:colOff>
      <xdr:row>13</xdr:row>
      <xdr:rowOff>76200</xdr:rowOff>
    </xdr:to>
    <xdr:sp>
      <xdr:nvSpPr>
        <xdr:cNvPr id="3" name="Ribbon: Tilted Down 2"/>
        <xdr:cNvSpPr/>
      </xdr:nvSpPr>
      <xdr:spPr>
        <a:xfrm>
          <a:off x="0" y="2394585"/>
          <a:ext cx="2223135" cy="455295"/>
        </a:xfrm>
        <a:prstGeom prst="ribbon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333375</xdr:colOff>
      <xdr:row>0</xdr:row>
      <xdr:rowOff>0</xdr:rowOff>
    </xdr:from>
    <xdr:to>
      <xdr:col>4</xdr:col>
      <xdr:colOff>57150</xdr:colOff>
      <xdr:row>2</xdr:row>
      <xdr:rowOff>76200</xdr:rowOff>
    </xdr:to>
    <xdr:sp>
      <xdr:nvSpPr>
        <xdr:cNvPr id="4" name="Ribbon: Tilted Up 3"/>
        <xdr:cNvSpPr/>
      </xdr:nvSpPr>
      <xdr:spPr>
        <a:xfrm>
          <a:off x="333375" y="0"/>
          <a:ext cx="2649855" cy="502920"/>
        </a:xfrm>
        <a:prstGeom prst="ribbon2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5"/>
  <sheetViews>
    <sheetView showGridLines="0" tabSelected="1" zoomScale="73" zoomScaleNormal="73" topLeftCell="A9" workbookViewId="0">
      <selection activeCell="S25" sqref="S25"/>
    </sheetView>
  </sheetViews>
  <sheetFormatPr defaultColWidth="9" defaultRowHeight="16.8"/>
  <cols>
    <col min="1" max="1" width="1.5703125" customWidth="1"/>
    <col min="5" max="5" width="15.1015625" customWidth="1"/>
    <col min="6" max="6" width="22.90625" customWidth="1"/>
  </cols>
  <sheetData>
    <row r="1" ht="17.55"/>
    <row r="2" spans="2:12">
      <c r="B2" s="1" t="s">
        <v>0</v>
      </c>
      <c r="C2" s="2"/>
      <c r="D2" s="2"/>
      <c r="E2" s="2"/>
      <c r="F2" s="2"/>
      <c r="G2" s="2"/>
      <c r="H2" s="3" t="s">
        <v>1</v>
      </c>
      <c r="I2" s="4"/>
      <c r="J2" s="4"/>
      <c r="K2" s="4"/>
      <c r="L2" s="5"/>
    </row>
    <row r="3" spans="2:12">
      <c r="B3" s="6"/>
      <c r="C3" s="7"/>
      <c r="D3" s="7"/>
      <c r="E3" s="7"/>
      <c r="F3" s="7"/>
      <c r="G3" s="7"/>
      <c r="H3" s="8"/>
      <c r="I3" s="9"/>
      <c r="J3" s="9"/>
      <c r="K3" s="9"/>
      <c r="L3" s="10"/>
    </row>
    <row r="4" spans="2:12">
      <c r="B4" s="6"/>
      <c r="C4" s="7"/>
      <c r="D4" s="7"/>
      <c r="E4" s="7"/>
      <c r="F4" s="7"/>
      <c r="G4" s="7"/>
      <c r="H4" s="8"/>
      <c r="I4" s="9"/>
      <c r="J4" s="9"/>
      <c r="K4" s="9"/>
      <c r="L4" s="10"/>
    </row>
    <row r="5" ht="17.55" spans="2:12">
      <c r="B5" s="11"/>
      <c r="C5" s="12"/>
      <c r="D5" s="12"/>
      <c r="E5" s="12"/>
      <c r="F5" s="12"/>
      <c r="G5" s="12"/>
      <c r="H5" s="13"/>
      <c r="I5" s="14"/>
      <c r="J5" s="14"/>
      <c r="K5" s="14"/>
      <c r="L5" s="15"/>
    </row>
    <row r="6" ht="21.75" customHeight="1" spans="2:12">
      <c r="B6" s="16"/>
      <c r="C6" s="17"/>
      <c r="D6" s="17"/>
      <c r="E6" s="17"/>
      <c r="F6" s="17"/>
      <c r="G6" s="18"/>
      <c r="H6" s="19" t="s">
        <v>2</v>
      </c>
      <c r="I6" s="20"/>
      <c r="J6" s="20"/>
      <c r="K6" s="20"/>
      <c r="L6" s="21"/>
    </row>
    <row r="7" ht="21.75" customHeight="1" spans="2:12">
      <c r="B7" s="22" t="s">
        <v>3</v>
      </c>
      <c r="C7" s="23"/>
      <c r="D7" s="23"/>
      <c r="E7" s="23"/>
      <c r="F7" s="23"/>
      <c r="G7" s="24"/>
      <c r="H7" s="22" t="s">
        <v>4</v>
      </c>
      <c r="I7" s="23"/>
      <c r="J7" s="23"/>
      <c r="K7" s="23"/>
      <c r="L7" s="24"/>
    </row>
    <row r="8" spans="2:12">
      <c r="B8" s="25" t="s">
        <v>5</v>
      </c>
      <c r="C8" s="26"/>
      <c r="D8" s="26"/>
      <c r="E8" s="26"/>
      <c r="F8" s="26"/>
      <c r="G8" s="27"/>
      <c r="H8" s="25" t="s">
        <v>6</v>
      </c>
      <c r="I8" s="26"/>
      <c r="J8" s="26"/>
      <c r="K8" s="26"/>
      <c r="L8" s="27"/>
    </row>
    <row r="9" ht="39" customHeight="1" spans="2:12">
      <c r="B9" s="28" t="s">
        <v>7</v>
      </c>
      <c r="C9" s="29"/>
      <c r="D9" s="29"/>
      <c r="E9" s="29"/>
      <c r="F9" s="29"/>
      <c r="G9" s="30"/>
      <c r="H9" s="31" t="s">
        <v>8</v>
      </c>
      <c r="I9" s="20"/>
      <c r="J9" s="20"/>
      <c r="K9" s="20"/>
      <c r="L9" s="21"/>
    </row>
    <row r="10" spans="2:12">
      <c r="B10" s="25" t="s">
        <v>9</v>
      </c>
      <c r="C10" s="26"/>
      <c r="D10" s="26"/>
      <c r="E10" s="26"/>
      <c r="F10" s="26"/>
      <c r="G10" s="27"/>
      <c r="H10" s="32" t="s">
        <v>10</v>
      </c>
      <c r="I10" s="33"/>
      <c r="J10" s="33"/>
      <c r="K10" s="33"/>
      <c r="L10" s="34"/>
    </row>
    <row r="11" spans="2:12">
      <c r="B11" s="25" t="s">
        <v>11</v>
      </c>
      <c r="C11" s="26"/>
      <c r="D11" s="26"/>
      <c r="E11" s="26"/>
      <c r="F11" s="26"/>
      <c r="G11" s="27"/>
      <c r="H11" s="32" t="s">
        <v>12</v>
      </c>
      <c r="I11" s="33"/>
      <c r="J11" s="33"/>
      <c r="K11" s="33"/>
      <c r="L11" s="34"/>
    </row>
    <row r="12" ht="17.55" spans="2:12">
      <c r="B12" s="35"/>
      <c r="C12" s="36"/>
      <c r="D12" s="36"/>
      <c r="E12" s="36"/>
      <c r="F12" s="36"/>
      <c r="G12" s="37"/>
      <c r="H12" s="38"/>
      <c r="I12" s="39"/>
      <c r="J12" s="39"/>
      <c r="K12" s="39"/>
      <c r="L12" s="40"/>
    </row>
    <row r="13" ht="21.75" customHeight="1" spans="2:12"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ht="19.5" customHeight="1" spans="2:12">
      <c r="B14" s="44" t="s">
        <v>13</v>
      </c>
      <c r="C14" s="45" t="s">
        <v>14</v>
      </c>
      <c r="D14" s="46"/>
      <c r="E14" s="46"/>
      <c r="F14" s="46"/>
      <c r="G14" s="46" t="s">
        <v>15</v>
      </c>
      <c r="H14" s="46"/>
      <c r="I14" s="46" t="s">
        <v>16</v>
      </c>
      <c r="J14" s="46" t="s">
        <v>17</v>
      </c>
      <c r="K14" s="46" t="s">
        <v>18</v>
      </c>
      <c r="L14" s="47"/>
    </row>
    <row r="15" ht="21.75" customHeight="1" spans="2:12">
      <c r="B15" s="48">
        <v>1</v>
      </c>
      <c r="C15" s="49" t="s">
        <v>19</v>
      </c>
      <c r="D15" s="50"/>
      <c r="E15" s="50"/>
      <c r="F15" s="50"/>
      <c r="G15" s="51"/>
      <c r="H15" s="52"/>
      <c r="I15" s="53">
        <v>60</v>
      </c>
      <c r="J15" s="53">
        <v>380</v>
      </c>
      <c r="K15" s="51">
        <f>(I15*J15)</f>
        <v>22800</v>
      </c>
      <c r="L15" s="54"/>
    </row>
    <row r="16" ht="99" customHeight="1" spans="2:12">
      <c r="B16" s="55">
        <v>2</v>
      </c>
      <c r="C16" s="49" t="s">
        <v>20</v>
      </c>
      <c r="D16" s="50"/>
      <c r="E16" s="50"/>
      <c r="F16" s="50"/>
      <c r="G16" s="51"/>
      <c r="H16" s="52"/>
      <c r="I16" s="53">
        <v>90</v>
      </c>
      <c r="J16" s="53">
        <v>350</v>
      </c>
      <c r="K16" s="51">
        <f>(I16*J16)</f>
        <v>31500</v>
      </c>
      <c r="L16" s="54"/>
    </row>
    <row r="17" ht="21.75" customHeight="1" spans="2:24">
      <c r="B17" s="48">
        <v>3</v>
      </c>
      <c r="C17" s="52"/>
      <c r="D17" s="56"/>
      <c r="E17" s="56"/>
      <c r="F17" s="56"/>
      <c r="G17" s="51"/>
      <c r="H17" s="52"/>
      <c r="I17" s="53"/>
      <c r="J17" s="53"/>
      <c r="K17" s="51">
        <f>(I17*J17)</f>
        <v>0</v>
      </c>
      <c r="L17" s="54"/>
    </row>
    <row r="18" ht="21.75" customHeight="1" spans="2:24">
      <c r="B18" s="48">
        <v>4</v>
      </c>
      <c r="C18" s="52"/>
      <c r="D18" s="56"/>
      <c r="E18" s="56"/>
      <c r="F18" s="56"/>
      <c r="G18" s="51"/>
      <c r="H18" s="52"/>
      <c r="I18" s="53"/>
      <c r="J18" s="53"/>
      <c r="K18" s="51">
        <f t="shared" ref="K18:K24" si="0">(I18*J18)</f>
        <v>0</v>
      </c>
      <c r="L18" s="54"/>
    </row>
    <row r="19" ht="22.5" customHeight="1" spans="2:24">
      <c r="B19" s="48">
        <v>5</v>
      </c>
      <c r="C19" s="52"/>
      <c r="D19" s="56"/>
      <c r="E19" s="56"/>
      <c r="F19" s="56"/>
      <c r="G19" s="51"/>
      <c r="H19" s="52"/>
      <c r="I19" s="53"/>
      <c r="J19" s="53"/>
      <c r="K19" s="51">
        <f t="shared" si="0"/>
        <v>0</v>
      </c>
      <c r="L19" s="54"/>
    </row>
    <row r="20" ht="21.75" customHeight="1" spans="2:24">
      <c r="B20" s="48">
        <v>6</v>
      </c>
      <c r="C20" s="52"/>
      <c r="D20" s="56"/>
      <c r="E20" s="56"/>
      <c r="F20" s="56"/>
      <c r="G20" s="51"/>
      <c r="H20" s="52"/>
      <c r="I20" s="53"/>
      <c r="J20" s="53"/>
      <c r="K20" s="51">
        <f t="shared" si="0"/>
        <v>0</v>
      </c>
      <c r="L20" s="54"/>
    </row>
    <row r="21" ht="21.75" customHeight="1" spans="2:24">
      <c r="B21" s="48">
        <v>7</v>
      </c>
      <c r="C21" s="52"/>
      <c r="D21" s="56"/>
      <c r="E21" s="56"/>
      <c r="F21" s="56"/>
      <c r="G21" s="51"/>
      <c r="H21" s="52"/>
      <c r="I21" s="53"/>
      <c r="J21" s="53"/>
      <c r="K21" s="51">
        <f t="shared" si="0"/>
        <v>0</v>
      </c>
      <c r="L21" s="54"/>
    </row>
    <row r="22" ht="21.75" customHeight="1" spans="2:24">
      <c r="B22" s="48">
        <v>8</v>
      </c>
      <c r="C22" s="52"/>
      <c r="D22" s="56"/>
      <c r="E22" s="56"/>
      <c r="F22" s="56"/>
      <c r="G22" s="51"/>
      <c r="H22" s="52"/>
      <c r="I22" s="53"/>
      <c r="J22" s="53"/>
      <c r="K22" s="51">
        <f t="shared" si="0"/>
        <v>0</v>
      </c>
      <c r="L22" s="54"/>
    </row>
    <row r="23" ht="21.75" customHeight="1" spans="2:24">
      <c r="B23" s="56">
        <v>9</v>
      </c>
      <c r="C23" s="52"/>
      <c r="D23" s="56"/>
      <c r="E23" s="56"/>
      <c r="F23" s="56"/>
      <c r="G23" s="51"/>
      <c r="H23" s="52"/>
      <c r="I23" s="53"/>
      <c r="J23" s="53"/>
      <c r="K23" s="51">
        <f t="shared" si="0"/>
        <v>0</v>
      </c>
      <c r="L23" s="54"/>
    </row>
    <row r="24" ht="21.75" customHeight="1" spans="2:24">
      <c r="B24" s="57" t="s">
        <v>21</v>
      </c>
      <c r="C24" s="58"/>
      <c r="D24" s="58"/>
      <c r="E24" s="58"/>
      <c r="F24" s="58"/>
      <c r="G24" s="58"/>
      <c r="H24" s="58"/>
      <c r="I24" s="8" t="s">
        <v>22</v>
      </c>
      <c r="J24" s="9"/>
      <c r="K24" s="56">
        <f>SUM(K15:K23)</f>
        <v>54300</v>
      </c>
      <c r="L24" s="59"/>
    </row>
    <row r="25" ht="21.75" customHeight="1" spans="2:24">
      <c r="B25" s="57" t="s">
        <v>23</v>
      </c>
      <c r="C25" s="58"/>
      <c r="D25" s="58"/>
      <c r="E25" s="58"/>
      <c r="F25" s="58"/>
      <c r="G25" s="58"/>
      <c r="H25" s="58"/>
      <c r="I25" s="60" t="s">
        <v>24</v>
      </c>
      <c r="J25" s="61"/>
      <c r="K25" s="56">
        <f>(K24*9%)</f>
        <v>4887</v>
      </c>
      <c r="L25" s="59"/>
    </row>
    <row r="26" ht="21.75" customHeight="1" spans="2:24">
      <c r="B26" s="57" t="s">
        <v>25</v>
      </c>
      <c r="C26" s="58"/>
      <c r="D26" s="58"/>
      <c r="E26" s="58"/>
      <c r="F26" s="58"/>
      <c r="G26" s="58"/>
      <c r="H26" s="58"/>
      <c r="I26" s="60" t="s">
        <v>26</v>
      </c>
      <c r="J26" s="61"/>
      <c r="K26" s="56">
        <f>(K24*9%)</f>
        <v>4887</v>
      </c>
      <c r="L26" s="59"/>
      <c r="M26" s="62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2"/>
    </row>
    <row r="27" ht="21.75" customHeight="1" spans="2:24">
      <c r="B27" s="57"/>
      <c r="C27" s="58"/>
      <c r="D27" s="58"/>
      <c r="E27" s="58"/>
      <c r="F27" s="58"/>
      <c r="G27" s="58"/>
      <c r="H27" s="58"/>
      <c r="I27" s="64" t="s">
        <v>27</v>
      </c>
      <c r="J27" s="65"/>
      <c r="K27" s="66">
        <f>SUM(K24:K26)</f>
        <v>64074</v>
      </c>
      <c r="L27" s="67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</row>
    <row r="28" spans="2:24">
      <c r="B28" s="68"/>
      <c r="C28" s="69"/>
      <c r="D28" s="69"/>
      <c r="E28" s="69"/>
      <c r="F28" s="69"/>
      <c r="G28" s="69"/>
      <c r="H28" s="69"/>
      <c r="I28" s="69"/>
      <c r="J28" s="69"/>
      <c r="K28" s="69"/>
      <c r="L28" s="70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</row>
    <row r="29" spans="2:24">
      <c r="B29" s="71" t="s">
        <v>28</v>
      </c>
      <c r="C29" s="72"/>
      <c r="D29" s="72"/>
      <c r="E29" s="72"/>
      <c r="F29" s="72"/>
      <c r="G29" s="72"/>
      <c r="H29" s="72"/>
      <c r="I29" s="72"/>
      <c r="J29" s="72"/>
      <c r="K29" s="72"/>
      <c r="L29" s="73"/>
      <c r="M29" s="62"/>
      <c r="N29" s="62"/>
      <c r="O29" s="74"/>
      <c r="P29" s="74"/>
      <c r="Q29" s="74"/>
      <c r="R29" s="74"/>
      <c r="S29" s="74"/>
      <c r="T29" s="74"/>
      <c r="U29" s="74"/>
      <c r="V29" s="74"/>
      <c r="W29" s="74"/>
      <c r="X29" s="74"/>
    </row>
    <row r="30" ht="17.55" spans="2:24"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7"/>
    </row>
    <row r="31" ht="15" customHeight="1" spans="2:24">
      <c r="B31" s="75" t="s">
        <v>29</v>
      </c>
      <c r="C31" s="76"/>
      <c r="D31" s="76"/>
      <c r="E31" s="76"/>
      <c r="F31" s="76"/>
      <c r="G31" s="76"/>
      <c r="H31" s="76"/>
      <c r="I31" s="76"/>
      <c r="J31" s="76"/>
      <c r="K31" s="76"/>
      <c r="L31" s="77"/>
    </row>
    <row r="32" ht="15.75" customHeight="1" spans="2:24">
      <c r="B32" s="78"/>
      <c r="C32" s="79"/>
      <c r="D32" s="79"/>
      <c r="E32" s="79"/>
      <c r="F32" s="79"/>
      <c r="G32" s="79"/>
      <c r="H32" s="79"/>
      <c r="I32" s="79"/>
      <c r="J32" s="79"/>
      <c r="K32" s="79"/>
      <c r="L32" s="80"/>
    </row>
    <row r="35" spans="1:10">
      <c r="A35" s="62"/>
      <c r="B35" s="63"/>
      <c r="C35" s="81"/>
      <c r="D35" s="81"/>
      <c r="E35" s="81"/>
      <c r="F35" s="81"/>
      <c r="G35" s="81"/>
      <c r="H35" s="81"/>
      <c r="I35" s="81"/>
      <c r="J35" s="81"/>
    </row>
  </sheetData>
  <mergeCells count="61">
    <mergeCell ref="B5:G5"/>
    <mergeCell ref="B6:G6"/>
    <mergeCell ref="H6:L6"/>
    <mergeCell ref="B7:G7"/>
    <mergeCell ref="H7:L7"/>
    <mergeCell ref="B8:G8"/>
    <mergeCell ref="H8:L8"/>
    <mergeCell ref="B9:G9"/>
    <mergeCell ref="H9:L9"/>
    <mergeCell ref="B10:G10"/>
    <mergeCell ref="H10:L10"/>
    <mergeCell ref="B11:G11"/>
    <mergeCell ref="H11:L11"/>
    <mergeCell ref="B12:G12"/>
    <mergeCell ref="H12:L12"/>
    <mergeCell ref="B13:L13"/>
    <mergeCell ref="C14:F14"/>
    <mergeCell ref="G14:H14"/>
    <mergeCell ref="K14:L14"/>
    <mergeCell ref="C15:F15"/>
    <mergeCell ref="G15:H15"/>
    <mergeCell ref="K15:L15"/>
    <mergeCell ref="C16:F16"/>
    <mergeCell ref="G16:H16"/>
    <mergeCell ref="K16:L16"/>
    <mergeCell ref="C17:F17"/>
    <mergeCell ref="G17:H17"/>
    <mergeCell ref="K17:L17"/>
    <mergeCell ref="C18:F18"/>
    <mergeCell ref="G18:H18"/>
    <mergeCell ref="K18:L18"/>
    <mergeCell ref="C19:F19"/>
    <mergeCell ref="G19:H19"/>
    <mergeCell ref="K19:L19"/>
    <mergeCell ref="C20:F20"/>
    <mergeCell ref="G20:H20"/>
    <mergeCell ref="K20:L20"/>
    <mergeCell ref="C21:F21"/>
    <mergeCell ref="G21:H21"/>
    <mergeCell ref="K21:L21"/>
    <mergeCell ref="C22:F22"/>
    <mergeCell ref="G22:H22"/>
    <mergeCell ref="K22:L22"/>
    <mergeCell ref="C23:F23"/>
    <mergeCell ref="G23:H23"/>
    <mergeCell ref="K23:L23"/>
    <mergeCell ref="I24:J24"/>
    <mergeCell ref="K24:L24"/>
    <mergeCell ref="I25:J25"/>
    <mergeCell ref="K25:L25"/>
    <mergeCell ref="I26:J26"/>
    <mergeCell ref="K26:L26"/>
    <mergeCell ref="I27:J27"/>
    <mergeCell ref="K27:L27"/>
    <mergeCell ref="B28:L28"/>
    <mergeCell ref="B29:L29"/>
    <mergeCell ref="O29:X29"/>
    <mergeCell ref="B30:L30"/>
    <mergeCell ref="B2:G4"/>
    <mergeCell ref="H2:L5"/>
    <mergeCell ref="B31:L32"/>
  </mergeCells>
  <printOptions horizontalCentered="1"/>
  <pageMargins left="0.118110236220472" right="0.12" top="0.47244094488189" bottom="0.748031496062992" header="0.31496062992126" footer="0.31496062992126"/>
  <pageSetup paperSize="9" scale="70" fitToHeight="0" orientation="portrait"/>
  <headerFooter/>
  <colBreaks count="1" manualBreakCount="1">
    <brk id="12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7" sqref="I17"/>
    </sheetView>
  </sheetViews>
  <sheetFormatPr defaultColWidth="9" defaultRowHeight="16.8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Shahabuddin Ansari</cp:lastModifiedBy>
  <dcterms:created xsi:type="dcterms:W3CDTF">2021-09-08T21:51:00Z</dcterms:created>
  <cp:lastPrinted>2021-09-11T20:17:00Z</cp:lastPrinted>
  <dcterms:modified xsi:type="dcterms:W3CDTF">2026-07-06T22:50:43Z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00B2B9E1E6749BEFEBE34B6A050B6509_43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